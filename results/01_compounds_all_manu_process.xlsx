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qfd\results\"/>
    </mc:Choice>
  </mc:AlternateContent>
  <xr:revisionPtr revIDLastSave="0" documentId="13_ncr:1_{D0BEA90B-369A-41EF-ACDD-4AF65C024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<sst xmlns="http://schemas.openxmlformats.org/spreadsheetml/2006/main" count="144" uniqueCount="79">
  <si>
    <t>Medicinal.materials(Latin.name)</t>
  </si>
  <si>
    <t>Medicinal.materials(Chinese.Pinyin.name)</t>
  </si>
  <si>
    <t>Compound</t>
  </si>
  <si>
    <t>Formula</t>
  </si>
  <si>
    <t>CID</t>
  </si>
  <si>
    <t>Source</t>
  </si>
  <si>
    <t>Aconitum carmichaeli</t>
  </si>
  <si>
    <t>FU ZI</t>
  </si>
  <si>
    <t>talatisamine</t>
  </si>
  <si>
    <t>159891</t>
  </si>
  <si>
    <t>neoline</t>
  </si>
  <si>
    <t>120682</t>
  </si>
  <si>
    <t>20055771</t>
  </si>
  <si>
    <t>78358526</t>
  </si>
  <si>
    <t>14163819</t>
  </si>
  <si>
    <t>20055812</t>
  </si>
  <si>
    <t>songorine</t>
  </si>
  <si>
    <t>71456946</t>
  </si>
  <si>
    <t>senbusine b</t>
  </si>
  <si>
    <t>76189547</t>
  </si>
  <si>
    <t>122173204</t>
  </si>
  <si>
    <t>20054813</t>
  </si>
  <si>
    <t>Astragalus membranaceus</t>
  </si>
  <si>
    <t>HUANG QI</t>
  </si>
  <si>
    <t>formononetin</t>
  </si>
  <si>
    <t>5280378</t>
  </si>
  <si>
    <t>calycosin</t>
  </si>
  <si>
    <t>5280448</t>
  </si>
  <si>
    <t>442813</t>
  </si>
  <si>
    <t>calycosin 7-o-glucoside</t>
  </si>
  <si>
    <t>5318267</t>
  </si>
  <si>
    <t>astragaloside iv</t>
  </si>
  <si>
    <t>13943297</t>
  </si>
  <si>
    <t>astragaloside ii</t>
  </si>
  <si>
    <t>13996693</t>
  </si>
  <si>
    <t>soyasaponin i</t>
  </si>
  <si>
    <t>122097</t>
  </si>
  <si>
    <t>formononetin 7-glucuronide</t>
  </si>
  <si>
    <t>101220281</t>
  </si>
  <si>
    <t>karakolidine</t>
  </si>
  <si>
    <t>C22H35NO5</t>
  </si>
  <si>
    <t>177825366</t>
  </si>
  <si>
    <t>Tan.2012</t>
  </si>
  <si>
    <t>chuanfumine</t>
  </si>
  <si>
    <t>177827759</t>
  </si>
  <si>
    <t>mesaconine</t>
  </si>
  <si>
    <t>C24H39NO9</t>
  </si>
  <si>
    <t>aconine</t>
  </si>
  <si>
    <t>C25H41NO9</t>
  </si>
  <si>
    <t>fuziline</t>
  </si>
  <si>
    <t>C24H39NO7</t>
  </si>
  <si>
    <t>14-acetylkarakoline</t>
  </si>
  <si>
    <t>C24H37NO5</t>
  </si>
  <si>
    <t>177825823</t>
  </si>
  <si>
    <t>C31H43NO10</t>
  </si>
  <si>
    <t>C16H12O4</t>
  </si>
  <si>
    <t>formononetin-O-β-D-glucoside</t>
  </si>
  <si>
    <t>C22H22O9</t>
  </si>
  <si>
    <t>9,10-dimethoxy-pterocarpan-3-O-β-D-glucoside</t>
  </si>
  <si>
    <t>C23H28O10</t>
  </si>
  <si>
    <t>11968435</t>
  </si>
  <si>
    <t>Zhang.2024</t>
  </si>
  <si>
    <t>11452543</t>
  </si>
  <si>
    <t>chasmanine</t>
  </si>
  <si>
    <t>C25H41NO6</t>
  </si>
  <si>
    <t>14-acetyltalatizamine</t>
  </si>
  <si>
    <t>DCABM-TCM,Tan.2012</t>
    <phoneticPr fontId="2" type="noConversion"/>
  </si>
  <si>
    <t>benzoylaconitine</t>
    <phoneticPr fontId="2" type="noConversion"/>
  </si>
  <si>
    <t>benzoylhypacoitine</t>
    <phoneticPr fontId="2" type="noConversion"/>
  </si>
  <si>
    <t>24832659</t>
    <phoneticPr fontId="2" type="noConversion"/>
  </si>
  <si>
    <t>benzoylmesaconine</t>
    <phoneticPr fontId="2" type="noConversion"/>
  </si>
  <si>
    <t>Tan.2012,Zhang.2024</t>
    <phoneticPr fontId="2" type="noConversion"/>
  </si>
  <si>
    <t>DCABM-TCM,Tan.2012,Zhang.2024</t>
    <phoneticPr fontId="2" type="noConversion"/>
  </si>
  <si>
    <t>DCABM-TCM,Zhang.2024</t>
    <phoneticPr fontId="2" type="noConversion"/>
  </si>
  <si>
    <t>C43H70O15</t>
    <phoneticPr fontId="2" type="noConversion"/>
  </si>
  <si>
    <t>DCABM-TCM,Tan.2012</t>
    <phoneticPr fontId="2" type="noConversion"/>
  </si>
  <si>
    <t>16-β-Hydroxycardiopetaline</t>
    <phoneticPr fontId="2" type="noConversion"/>
  </si>
  <si>
    <t>177826959</t>
  </si>
  <si>
    <t>C21H33NO4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</si>
</sst>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0" xfId="0" applyFill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1" topLeftCell="A2" activePane="bottomLeft" state="frozen"/>
      <selection pane="bottomLeft" activeCell="E29" sqref="E29"/>
    </sheetView>
  </sheetViews>
  <sheetFormatPr defaultColWidth="48" defaultRowHeight="15" x14ac:dyDescent="0.25"/>
  <cols>
    <col min="1" max="1" width="26.7109375" customWidth="1"/>
    <col min="2" max="2" width="8.28515625" customWidth="1"/>
    <col min="3" max="3" width="44.5703125" customWidth="1"/>
    <col min="4" max="4" width="22.28515625" customWidth="1"/>
    <col min="5" max="5" width="48" style="3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51</v>
      </c>
      <c r="D2" t="s">
        <v>52</v>
      </c>
      <c r="E2" s="3" t="s">
        <v>53</v>
      </c>
      <c r="F2" t="s">
        <v>42</v>
      </c>
    </row>
    <row r="3" spans="1:6" x14ac:dyDescent="0.25">
      <c r="A3" t="s">
        <v>6</v>
      </c>
      <c r="B3" t="s">
        <v>7</v>
      </c>
      <c r="C3" t="s">
        <v>65</v>
      </c>
      <c r="D3" t="s">
        <v>54</v>
      </c>
      <c r="E3" s="3" t="s">
        <v>20</v>
      </c>
      <c r="F3" t="s">
        <v>61</v>
      </c>
    </row>
    <row r="4" spans="1:6" x14ac:dyDescent="0.25">
      <c r="A4" t="s">
        <v>6</v>
      </c>
      <c r="B4" t="s">
        <v>7</v>
      </c>
      <c r="C4" s="4" t="s">
        <v>76</v>
      </c>
      <c r="D4" t="s">
        <v>78</v>
      </c>
      <c r="E4" s="3" t="s">
        <v>77</v>
      </c>
      <c r="F4" t="s">
        <v>61</v>
      </c>
    </row>
    <row r="5" spans="1:6" x14ac:dyDescent="0.25">
      <c r="A5" t="s">
        <v>6</v>
      </c>
      <c r="B5" t="s">
        <v>7</v>
      </c>
      <c r="C5" t="s">
        <v>47</v>
      </c>
      <c r="D5" t="s">
        <v>48</v>
      </c>
      <c r="E5" s="3" t="s">
        <v>21</v>
      </c>
      <c r="F5" t="s">
        <v>42</v>
      </c>
    </row>
    <row r="6" spans="1:6" x14ac:dyDescent="0.25">
      <c r="A6" t="s">
        <v>6</v>
      </c>
      <c r="B6" t="s">
        <v>7</v>
      </c>
      <c r="C6" t="s">
        <v>67</v>
      </c>
      <c r="E6" s="3" t="s">
        <v>12</v>
      </c>
      <c r="F6" t="s">
        <v>66</v>
      </c>
    </row>
    <row r="7" spans="1:6" x14ac:dyDescent="0.25">
      <c r="A7" t="s">
        <v>6</v>
      </c>
      <c r="B7" t="s">
        <v>7</v>
      </c>
      <c r="C7" t="s">
        <v>68</v>
      </c>
      <c r="E7" s="3" t="s">
        <v>13</v>
      </c>
      <c r="F7" t="s">
        <v>66</v>
      </c>
    </row>
    <row r="8" spans="1:6" x14ac:dyDescent="0.25">
      <c r="A8" t="s">
        <v>6</v>
      </c>
      <c r="B8" t="s">
        <v>7</v>
      </c>
      <c r="C8" t="s">
        <v>70</v>
      </c>
      <c r="E8" s="3" t="s">
        <v>69</v>
      </c>
      <c r="F8" t="s">
        <v>66</v>
      </c>
    </row>
    <row r="9" spans="1:6" x14ac:dyDescent="0.25">
      <c r="A9" t="s">
        <v>6</v>
      </c>
      <c r="B9" t="s">
        <v>7</v>
      </c>
      <c r="C9" t="s">
        <v>63</v>
      </c>
      <c r="D9" t="s">
        <v>64</v>
      </c>
      <c r="E9" s="3" t="s">
        <v>15</v>
      </c>
      <c r="F9" t="s">
        <v>73</v>
      </c>
    </row>
    <row r="10" spans="1:6" x14ac:dyDescent="0.25">
      <c r="A10" t="s">
        <v>6</v>
      </c>
      <c r="B10" t="s">
        <v>7</v>
      </c>
      <c r="C10" t="s">
        <v>43</v>
      </c>
      <c r="D10" t="s">
        <v>40</v>
      </c>
      <c r="E10" s="3" t="s">
        <v>44</v>
      </c>
      <c r="F10" t="s">
        <v>71</v>
      </c>
    </row>
    <row r="11" spans="1:6" x14ac:dyDescent="0.25">
      <c r="A11" t="s">
        <v>6</v>
      </c>
      <c r="B11" t="s">
        <v>7</v>
      </c>
      <c r="C11" t="s">
        <v>49</v>
      </c>
      <c r="D11" t="s">
        <v>50</v>
      </c>
      <c r="E11" s="3" t="s">
        <v>14</v>
      </c>
      <c r="F11" t="s">
        <v>72</v>
      </c>
    </row>
    <row r="12" spans="1:6" x14ac:dyDescent="0.25">
      <c r="A12" t="s">
        <v>6</v>
      </c>
      <c r="B12" t="s">
        <v>7</v>
      </c>
      <c r="C12" t="s">
        <v>39</v>
      </c>
      <c r="D12" t="s">
        <v>40</v>
      </c>
      <c r="E12" s="3" t="s">
        <v>41</v>
      </c>
      <c r="F12" t="s">
        <v>71</v>
      </c>
    </row>
    <row r="13" spans="1:6" x14ac:dyDescent="0.25">
      <c r="A13" t="s">
        <v>6</v>
      </c>
      <c r="B13" t="s">
        <v>7</v>
      </c>
      <c r="C13" t="s">
        <v>45</v>
      </c>
      <c r="D13" t="s">
        <v>46</v>
      </c>
      <c r="E13" s="3" t="s">
        <v>19</v>
      </c>
      <c r="F13" t="s">
        <v>71</v>
      </c>
    </row>
    <row r="14" spans="1:6" x14ac:dyDescent="0.25">
      <c r="A14" t="s">
        <v>6</v>
      </c>
      <c r="B14" t="s">
        <v>7</v>
      </c>
      <c r="C14" t="s">
        <v>10</v>
      </c>
      <c r="E14" s="3" t="s">
        <v>11</v>
      </c>
      <c r="F14" t="s">
        <v>72</v>
      </c>
    </row>
    <row r="15" spans="1:6" x14ac:dyDescent="0.25">
      <c r="A15" t="s">
        <v>6</v>
      </c>
      <c r="B15" t="s">
        <v>7</v>
      </c>
      <c r="C15" t="s">
        <v>18</v>
      </c>
      <c r="E15" s="3" t="s">
        <v>62</v>
      </c>
      <c r="F15" t="s">
        <v>73</v>
      </c>
    </row>
    <row r="16" spans="1:6" x14ac:dyDescent="0.25">
      <c r="A16" t="s">
        <v>6</v>
      </c>
      <c r="B16" t="s">
        <v>7</v>
      </c>
      <c r="C16" t="s">
        <v>16</v>
      </c>
      <c r="E16" s="3" t="s">
        <v>17</v>
      </c>
      <c r="F16" t="s">
        <v>72</v>
      </c>
    </row>
    <row r="17" spans="1:6" x14ac:dyDescent="0.25">
      <c r="A17" t="s">
        <v>6</v>
      </c>
      <c r="B17" t="s">
        <v>7</v>
      </c>
      <c r="C17" t="s">
        <v>8</v>
      </c>
      <c r="E17" s="3" t="s">
        <v>9</v>
      </c>
      <c r="F17" t="s">
        <v>72</v>
      </c>
    </row>
    <row r="18" spans="1:6" x14ac:dyDescent="0.25">
      <c r="A18" t="s">
        <v>22</v>
      </c>
      <c r="B18" t="s">
        <v>23</v>
      </c>
      <c r="C18" t="s">
        <v>58</v>
      </c>
      <c r="D18" t="s">
        <v>59</v>
      </c>
      <c r="E18" s="3" t="s">
        <v>60</v>
      </c>
      <c r="F18" t="s">
        <v>75</v>
      </c>
    </row>
    <row r="19" spans="1:6" x14ac:dyDescent="0.25">
      <c r="A19" t="s">
        <v>22</v>
      </c>
      <c r="B19" t="s">
        <v>23</v>
      </c>
      <c r="C19" t="s">
        <v>33</v>
      </c>
      <c r="D19" t="s">
        <v>74</v>
      </c>
      <c r="E19" s="3" t="s">
        <v>34</v>
      </c>
      <c r="F19" t="s">
        <v>66</v>
      </c>
    </row>
    <row r="20" spans="1:6" x14ac:dyDescent="0.25">
      <c r="A20" t="s">
        <v>22</v>
      </c>
      <c r="B20" t="s">
        <v>23</v>
      </c>
      <c r="C20" t="s">
        <v>31</v>
      </c>
      <c r="E20" s="3" t="s">
        <v>32</v>
      </c>
      <c r="F20" t="s">
        <v>66</v>
      </c>
    </row>
    <row r="21" spans="1:6" x14ac:dyDescent="0.25">
      <c r="A21" t="s">
        <v>22</v>
      </c>
      <c r="B21" t="s">
        <v>23</v>
      </c>
      <c r="C21" t="s">
        <v>26</v>
      </c>
      <c r="E21" s="3" t="s">
        <v>27</v>
      </c>
      <c r="F21" t="s">
        <v>72</v>
      </c>
    </row>
    <row r="22" spans="1:6" x14ac:dyDescent="0.25">
      <c r="A22" t="s">
        <v>22</v>
      </c>
      <c r="B22" t="s">
        <v>23</v>
      </c>
      <c r="C22" t="s">
        <v>29</v>
      </c>
      <c r="E22" s="3" t="s">
        <v>30</v>
      </c>
      <c r="F22" t="s">
        <v>66</v>
      </c>
    </row>
    <row r="23" spans="1:6" x14ac:dyDescent="0.25">
      <c r="A23" t="s">
        <v>22</v>
      </c>
      <c r="B23" t="s">
        <v>23</v>
      </c>
      <c r="C23" t="s">
        <v>24</v>
      </c>
      <c r="D23" t="s">
        <v>55</v>
      </c>
      <c r="E23" s="3" t="s">
        <v>25</v>
      </c>
      <c r="F23" t="s">
        <v>72</v>
      </c>
    </row>
    <row r="24" spans="1:6" x14ac:dyDescent="0.25">
      <c r="A24" t="s">
        <v>22</v>
      </c>
      <c r="B24" t="s">
        <v>23</v>
      </c>
      <c r="C24" t="s">
        <v>37</v>
      </c>
      <c r="E24" s="3" t="s">
        <v>38</v>
      </c>
      <c r="F24" t="s">
        <v>73</v>
      </c>
    </row>
    <row r="25" spans="1:6" x14ac:dyDescent="0.25">
      <c r="A25" t="s">
        <v>22</v>
      </c>
      <c r="B25" t="s">
        <v>23</v>
      </c>
      <c r="C25" t="s">
        <v>56</v>
      </c>
      <c r="D25" t="s">
        <v>57</v>
      </c>
      <c r="E25" s="3" t="s">
        <v>28</v>
      </c>
      <c r="F25" t="s">
        <v>66</v>
      </c>
    </row>
    <row r="26" spans="1:6" x14ac:dyDescent="0.25">
      <c r="A26" t="s">
        <v>22</v>
      </c>
      <c r="B26" t="s">
        <v>23</v>
      </c>
      <c r="C26" t="s">
        <v>35</v>
      </c>
      <c r="E26" s="3" t="s">
        <v>36</v>
      </c>
      <c r="F26" t="s">
        <v>66</v>
      </c>
    </row>
  </sheetData>
  <sortState xmlns:xlrd2="http://schemas.microsoft.com/office/spreadsheetml/2017/richdata2" ref="A2:F26">
    <sortCondition ref="B2:B26"/>
    <sortCondition ref="C2:C26"/>
  </sortState>
  <phoneticPr fontId="2" type="noConversion"/>
  <conditionalFormatting sqref="C1:C1048576">
    <cfRule type="duplicateValues" dxfId="2" priority="13"/>
  </conditionalFormatting>
  <conditionalFormatting sqref="D19 C1:C1048576">
    <cfRule type="duplicateValues" dxfId="1" priority="21"/>
  </conditionalFormatting>
  <conditionalFormatting sqref="E1:E1048576">
    <cfRule type="duplicateValues" dxfId="0" priority="2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2026-07-01T15:33:50Z</dcterms:created>
  <dcterms:modified xsi:type="dcterms:W3CDTF">2026-07-01T17:44:01Z</dcterms:modified>
</cp:coreProperties>
</file>